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Magasin" sheetId="2" state="visible" r:id="rId2"/>
    <sheet name="Commandes 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%"/>
    <numFmt numFmtId="167" formatCode="dd/mm/yyyy hh:mm"/>
    <numFmt numFmtId="168" formatCode="hh:mm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8"/>
    </font>
    <font>
      <name val="Calibri"/>
      <b val="1"/>
      <color rgb="00595959"/>
      <sz val="10"/>
    </font>
    <font>
      <name val="Calibri"/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8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0006"/>
      </font>
      <fill>
        <patternFill patternType="solid">
          <fgColor rgb="00FCE4E4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ont>
        <b val="1"/>
        <color rgb="00FFFFFF"/>
      </font>
      <fill>
        <patternFill patternType="solid">
          <fgColor rgb="00548235"/>
        </patternFill>
      </fill>
    </dxf>
    <dxf>
      <font>
        <b val="1"/>
        <color rgb="009C5700"/>
      </font>
      <fill>
        <patternFill patternType="solid">
          <fgColor rgb="00FFD8A8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Production" displayName="tblProduction" ref="A6:M11" headerRowCount="1">
  <autoFilter ref="A6:M11"/>
  <tableColumns count="13">
    <tableColumn id="1" name="N° Commande"/>
    <tableColumn id="2" name="Machine"/>
    <tableColumn id="3" name="Opérateur"/>
    <tableColumn id="4" name="Qté totale"/>
    <tableColumn id="5" name="Qté réalisée"/>
    <tableColumn id="6" name="% Avancement"/>
    <tableColumn id="7" name="Tournage"/>
    <tableColumn id="8" name="Fraisage"/>
    <tableColumn id="9" name="Rectification"/>
    <tableColumn id="10" name="Heure Début"/>
    <tableColumn id="11" name="Heure Fin"/>
    <tableColumn id="12" name="Durée (h)"/>
    <tableColumn id="13" name="Statut Glob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agasin" displayName="tblMagasin" ref="A1:E6" headerRowCount="1">
  <autoFilter ref="A1:E6"/>
  <tableColumns count="5">
    <tableColumn id="1" name="ID Matière"/>
    <tableColumn id="2" name="Désignation"/>
    <tableColumn id="3" name="Quantité en Stock"/>
    <tableColumn id="4" name="Statut"/>
    <tableColumn id="5" name="Date de réception prév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mmandes" displayName="tblCommandes" ref="A1:F6" headerRowCount="1">
  <autoFilter ref="A1:F6"/>
  <tableColumns count="6">
    <tableColumn id="1" name="N° Commande"/>
    <tableColumn id="2" name="Client"/>
    <tableColumn id="3" name="Quantité Totale"/>
    <tableColumn id="4" name="Date Limite de Livraison"/>
    <tableColumn id="5" name="Jours restants"/>
    <tableColumn id="6" name="Niveau Urg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3" customWidth="1" min="7" max="7"/>
    <col width="13" customWidth="1" min="8" max="8"/>
    <col width="15" customWidth="1" min="9" max="9"/>
    <col width="14" customWidth="1" min="10" max="10"/>
    <col width="14" customWidth="1" min="11" max="11"/>
    <col width="12" customWidth="1" min="12" max="12"/>
    <col width="22" customWidth="1" min="13" max="13"/>
  </cols>
  <sheetData>
    <row r="1" ht="34" customHeight="1">
      <c r="A1" s="1" t="inlineStr">
        <is>
          <t>TABLEAU DE BORD — SUIVI DE PRODUCTION</t>
        </is>
      </c>
    </row>
    <row r="2" ht="20" customHeight="1">
      <c r="A2" s="2" t="inlineStr">
        <is>
          <t>Commandes en retard</t>
        </is>
      </c>
      <c r="C2" s="2" t="inlineStr">
        <is>
          <t>Commandes critiques</t>
        </is>
      </c>
      <c r="E2" s="2" t="inlineStr">
        <is>
          <t>Ordres en cours</t>
        </is>
      </c>
      <c r="G2" s="2" t="inlineStr">
        <is>
          <t>% avancement global</t>
        </is>
      </c>
      <c r="I2" s="2" t="inlineStr">
        <is>
          <t>Dernière MAJ</t>
        </is>
      </c>
    </row>
    <row r="3" ht="28" customHeight="1">
      <c r="A3" s="3">
        <f>COUNTIF(tblCommandes[Niveau Urgence],"EN RETARD")</f>
        <v/>
      </c>
      <c r="C3" s="3">
        <f>COUNTIF(tblCommandes[Niveau Urgence],"CRITIQUE")</f>
        <v/>
      </c>
      <c r="E3" s="3">
        <f>COUNTIFS(tblProduction[Statut Global],"&lt;&gt;Terminé")</f>
        <v/>
      </c>
      <c r="G3" s="4">
        <f>IFERROR(SUM(tblProduction[Qté réalisée])/SUM(tblProduction[Qté totale]),0)</f>
        <v/>
      </c>
      <c r="I3" s="5">
        <f>NOW()</f>
        <v/>
      </c>
    </row>
    <row r="6" ht="28" customHeight="1">
      <c r="A6" s="6" t="inlineStr">
        <is>
          <t>N° Commande</t>
        </is>
      </c>
      <c r="B6" s="6" t="inlineStr">
        <is>
          <t>Machine</t>
        </is>
      </c>
      <c r="C6" s="6" t="inlineStr">
        <is>
          <t>Opérateur</t>
        </is>
      </c>
      <c r="D6" s="6" t="inlineStr">
        <is>
          <t>Qté totale</t>
        </is>
      </c>
      <c r="E6" s="6" t="inlineStr">
        <is>
          <t>Qté réalisée</t>
        </is>
      </c>
      <c r="F6" s="6" t="inlineStr">
        <is>
          <t>% Avancement</t>
        </is>
      </c>
      <c r="G6" s="6" t="inlineStr">
        <is>
          <t>Tournage</t>
        </is>
      </c>
      <c r="H6" s="6" t="inlineStr">
        <is>
          <t>Fraisage</t>
        </is>
      </c>
      <c r="I6" s="6" t="inlineStr">
        <is>
          <t>Rectification</t>
        </is>
      </c>
      <c r="J6" s="6" t="inlineStr">
        <is>
          <t>Heure Début</t>
        </is>
      </c>
      <c r="K6" s="6" t="inlineStr">
        <is>
          <t>Heure Fin</t>
        </is>
      </c>
      <c r="L6" s="6" t="inlineStr">
        <is>
          <t>Durée (h)</t>
        </is>
      </c>
      <c r="M6" s="6" t="inlineStr">
        <is>
          <t>Statut Global</t>
        </is>
      </c>
    </row>
    <row r="7">
      <c r="A7" t="inlineStr">
        <is>
          <t>CMD-2026-001</t>
        </is>
      </c>
      <c r="B7" s="7" t="inlineStr">
        <is>
          <t>Tour CNC 1</t>
        </is>
      </c>
      <c r="C7" t="inlineStr">
        <is>
          <t>J. Martin</t>
        </is>
      </c>
      <c r="D7">
        <f>IFERROR(XLOOKUP([@[N° Commande]],tblCommandes[N° Commande],tblCommandes[Quantité Totale]),0)</f>
        <v/>
      </c>
      <c r="E7" t="n">
        <v>30</v>
      </c>
      <c r="F7" s="8">
        <f>IFERROR([@[Qté réalisée]]/[@[Qté totale]],0)</f>
        <v/>
      </c>
      <c r="G7" s="7" t="inlineStr">
        <is>
          <t>Fait</t>
        </is>
      </c>
      <c r="H7" s="7" t="inlineStr">
        <is>
          <t>En cours</t>
        </is>
      </c>
      <c r="I7" s="7" t="inlineStr">
        <is>
          <t>À faire</t>
        </is>
      </c>
      <c r="J7" s="9" t="n"/>
      <c r="K7" s="9" t="n"/>
      <c r="L7" s="10">
        <f>IF(AND([@[Heure Début]]&lt;&gt;"",[@[Heure Fin]]&lt;&gt;""),([@[Heure Fin]]-[@[Heure Début]])*24,"")</f>
        <v/>
      </c>
      <c r="M7" s="7">
        <f>IF([@Tournage]&lt;&gt;"Fait","En attente Tournage",IF([@Fraisage]&lt;&gt;"Fait","En attente Fraisage",IF([@Rectification]&lt;&gt;"Fait","En attente Rectification",IF([@[Qté réalisée]]&lt;[@[Qté totale]],"Finition en cours","Terminé"))))</f>
        <v/>
      </c>
    </row>
    <row r="8">
      <c r="A8" t="inlineStr">
        <is>
          <t>CMD-2026-002</t>
        </is>
      </c>
      <c r="B8" s="7" t="inlineStr">
        <is>
          <t>Fraiseuse 1</t>
        </is>
      </c>
      <c r="C8" t="inlineStr">
        <is>
          <t>L. Dubois</t>
        </is>
      </c>
      <c r="D8">
        <f>IFERROR(XLOOKUP([@[N° Commande]],tblCommandes[N° Commande],tblCommandes[Quantité Totale]),0)</f>
        <v/>
      </c>
      <c r="E8" t="n">
        <v>75</v>
      </c>
      <c r="F8" s="8">
        <f>IFERROR([@[Qté réalisée]]/[@[Qté totale]],0)</f>
        <v/>
      </c>
      <c r="G8" s="7" t="inlineStr">
        <is>
          <t>Fait</t>
        </is>
      </c>
      <c r="H8" s="7" t="inlineStr">
        <is>
          <t>Fait</t>
        </is>
      </c>
      <c r="I8" s="7" t="inlineStr">
        <is>
          <t>En cours</t>
        </is>
      </c>
      <c r="J8" s="9" t="n"/>
      <c r="K8" s="9" t="n"/>
      <c r="L8" s="10">
        <f>IF(AND([@[Heure Début]]&lt;&gt;"",[@[Heure Fin]]&lt;&gt;""),([@[Heure Fin]]-[@[Heure Début]])*24,"")</f>
        <v/>
      </c>
      <c r="M8" s="7">
        <f>IF([@Tournage]&lt;&gt;"Fait","En attente Tournage",IF([@Fraisage]&lt;&gt;"Fait","En attente Fraisage",IF([@Rectification]&lt;&gt;"Fait","En attente Rectification",IF([@[Qté réalisée]]&lt;[@[Qté totale]],"Finition en cours","Terminé"))))</f>
        <v/>
      </c>
    </row>
    <row r="9">
      <c r="A9" t="inlineStr">
        <is>
          <t>CMD-2026-003</t>
        </is>
      </c>
      <c r="B9" s="7" t="inlineStr">
        <is>
          <t>Tour CNC 2</t>
        </is>
      </c>
      <c r="C9" t="inlineStr">
        <is>
          <t>A. Bernard</t>
        </is>
      </c>
      <c r="D9">
        <f>IFERROR(XLOOKUP([@[N° Commande]],tblCommandes[N° Commande],tblCommandes[Quantité Totale]),0)</f>
        <v/>
      </c>
      <c r="E9" t="n">
        <v>8</v>
      </c>
      <c r="F9" s="8">
        <f>IFERROR([@[Qté réalisée]]/[@[Qté totale]],0)</f>
        <v/>
      </c>
      <c r="G9" s="7" t="inlineStr">
        <is>
          <t>Fait</t>
        </is>
      </c>
      <c r="H9" s="7" t="inlineStr">
        <is>
          <t>Fait</t>
        </is>
      </c>
      <c r="I9" s="7" t="inlineStr">
        <is>
          <t>Fait</t>
        </is>
      </c>
      <c r="J9" s="9" t="n"/>
      <c r="K9" s="9" t="n"/>
      <c r="L9" s="10">
        <f>IF(AND([@[Heure Début]]&lt;&gt;"",[@[Heure Fin]]&lt;&gt;""),([@[Heure Fin]]-[@[Heure Début]])*24,"")</f>
        <v/>
      </c>
      <c r="M9" s="7">
        <f>IF([@Tournage]&lt;&gt;"Fait","En attente Tournage",IF([@Fraisage]&lt;&gt;"Fait","En attente Fraisage",IF([@Rectification]&lt;&gt;"Fait","En attente Rectification",IF([@[Qté réalisée]]&lt;[@[Qté totale]],"Finition en cours","Terminé"))))</f>
        <v/>
      </c>
    </row>
    <row r="10">
      <c r="A10" t="inlineStr">
        <is>
          <t>CMD-2026-004</t>
        </is>
      </c>
      <c r="B10" s="7" t="inlineStr">
        <is>
          <t>Fraiseuse 2</t>
        </is>
      </c>
      <c r="C10" t="inlineStr">
        <is>
          <t>M. Leroy</t>
        </is>
      </c>
      <c r="D10">
        <f>IFERROR(XLOOKUP([@[N° Commande]],tblCommandes[N° Commande],tblCommandes[Quantité Totale]),0)</f>
        <v/>
      </c>
      <c r="E10" t="n">
        <v>40</v>
      </c>
      <c r="F10" s="8">
        <f>IFERROR([@[Qté réalisée]]/[@[Qté totale]],0)</f>
        <v/>
      </c>
      <c r="G10" s="7" t="inlineStr">
        <is>
          <t>En cours</t>
        </is>
      </c>
      <c r="H10" s="7" t="inlineStr">
        <is>
          <t>À faire</t>
        </is>
      </c>
      <c r="I10" s="7" t="inlineStr">
        <is>
          <t>À faire</t>
        </is>
      </c>
      <c r="J10" s="9" t="n"/>
      <c r="K10" s="9" t="n"/>
      <c r="L10" s="10">
        <f>IF(AND([@[Heure Début]]&lt;&gt;"",[@[Heure Fin]]&lt;&gt;""),([@[Heure Fin]]-[@[Heure Début]])*24,"")</f>
        <v/>
      </c>
      <c r="M10" s="7">
        <f>IF([@Tournage]&lt;&gt;"Fait","En attente Tournage",IF([@Fraisage]&lt;&gt;"Fait","En attente Fraisage",IF([@Rectification]&lt;&gt;"Fait","En attente Rectification",IF([@[Qté réalisée]]&lt;[@[Qté totale]],"Finition en cours","Terminé"))))</f>
        <v/>
      </c>
    </row>
    <row r="11">
      <c r="A11" t="inlineStr">
        <is>
          <t>CMD-2026-005</t>
        </is>
      </c>
      <c r="B11" s="7" t="inlineStr">
        <is>
          <t>Rectifieuse</t>
        </is>
      </c>
      <c r="C11" t="inlineStr">
        <is>
          <t>P. Girard</t>
        </is>
      </c>
      <c r="D11">
        <f>IFERROR(XLOOKUP([@[N° Commande]],tblCommandes[N° Commande],tblCommandes[Quantité Totale]),0)</f>
        <v/>
      </c>
      <c r="E11" t="n">
        <v>10</v>
      </c>
      <c r="F11" s="8">
        <f>IFERROR([@[Qté réalisée]]/[@[Qté totale]],0)</f>
        <v/>
      </c>
      <c r="G11" s="7" t="inlineStr">
        <is>
          <t>Fait</t>
        </is>
      </c>
      <c r="H11" s="7" t="inlineStr">
        <is>
          <t>Fait</t>
        </is>
      </c>
      <c r="I11" s="7" t="inlineStr">
        <is>
          <t>À faire</t>
        </is>
      </c>
      <c r="J11" s="9" t="n"/>
      <c r="K11" s="9" t="n"/>
      <c r="L11" s="10">
        <f>IF(AND([@[Heure Début]]&lt;&gt;"",[@[Heure Fin]]&lt;&gt;""),([@[Heure Fin]]-[@[Heure Début]])*24,"")</f>
        <v/>
      </c>
      <c r="M11" s="7">
        <f>IF([@Tournage]&lt;&gt;"Fait","En attente Tournage",IF([@Fraisage]&lt;&gt;"Fait","En attente Fraisage",IF([@Rectification]&lt;&gt;"Fait","En attente Rectification",IF([@[Qté réalisée]]&lt;[@[Qté totale]],"Finition en cours","Terminé"))))</f>
        <v/>
      </c>
    </row>
  </sheetData>
  <mergeCells count="1">
    <mergeCell ref="A1:M1"/>
  </mergeCells>
  <conditionalFormatting sqref="A3">
    <cfRule type="cellIs" priority="1" operator="greaterThan" dxfId="0">
      <formula>0</formula>
    </cfRule>
  </conditionalFormatting>
  <conditionalFormatting sqref="C3">
    <cfRule type="cellIs" priority="2" operator="greaterThan" dxfId="1">
      <formula>0</formula>
    </cfRule>
  </conditionalFormatting>
  <conditionalFormatting sqref="G7:G11">
    <cfRule type="cellIs" priority="3" operator="equal" dxfId="2">
      <formula>"Fait"</formula>
    </cfRule>
    <cfRule type="cellIs" priority="4" operator="equal" dxfId="3">
      <formula>"En cours"</formula>
    </cfRule>
    <cfRule type="cellIs" priority="5" operator="equal" dxfId="4">
      <formula>"À faire"</formula>
    </cfRule>
  </conditionalFormatting>
  <conditionalFormatting sqref="H7:H11">
    <cfRule type="cellIs" priority="6" operator="equal" dxfId="2">
      <formula>"Fait"</formula>
    </cfRule>
    <cfRule type="cellIs" priority="7" operator="equal" dxfId="3">
      <formula>"En cours"</formula>
    </cfRule>
    <cfRule type="cellIs" priority="8" operator="equal" dxfId="4">
      <formula>"À faire"</formula>
    </cfRule>
  </conditionalFormatting>
  <conditionalFormatting sqref="I7:I11">
    <cfRule type="cellIs" priority="9" operator="equal" dxfId="2">
      <formula>"Fait"</formula>
    </cfRule>
    <cfRule type="cellIs" priority="10" operator="equal" dxfId="3">
      <formula>"En cours"</formula>
    </cfRule>
    <cfRule type="cellIs" priority="11" operator="equal" dxfId="4">
      <formula>"À faire"</formula>
    </cfRule>
  </conditionalFormatting>
  <conditionalFormatting sqref="M7:M11">
    <cfRule type="cellIs" priority="12" operator="equal" dxfId="5">
      <formula>"Terminé"</formula>
    </cfRule>
    <cfRule type="cellIs" priority="13" operator="equal" dxfId="3">
      <formula>"Finition en cours"</formula>
    </cfRule>
  </conditionalFormatting>
  <conditionalFormatting sqref="F7:F11">
    <cfRule type="dataBar" priority="14">
      <dataBar showValue="1">
        <cfvo type="num" val="0"/>
        <cfvo type="num" val="1"/>
        <color rgb="004F81BD"/>
      </dataBar>
    </cfRule>
  </conditionalFormatting>
  <dataValidations count="6">
    <dataValidation sqref="A7:A61" showDropDown="0" showInputMessage="0" showErrorMessage="0" allowBlank="1" type="list">
      <formula1>=tblCommandes[N° Commande]</formula1>
    </dataValidation>
    <dataValidation sqref="B7:B61" showDropDown="0" showInputMessage="0" showErrorMessage="0" allowBlank="1" type="list">
      <formula1>"Tour CNC 1,Tour CNC 2,Fraiseuse 1,Fraiseuse 2,Rectifieuse"</formula1>
    </dataValidation>
    <dataValidation sqref="G7:G61" showDropDown="0" showInputMessage="0" showErrorMessage="0" allowBlank="0" type="list">
      <formula1>"À faire,En cours,Fait"</formula1>
    </dataValidation>
    <dataValidation sqref="H7:H61" showDropDown="0" showInputMessage="0" showErrorMessage="0" allowBlank="0" type="list">
      <formula1>"À faire,En cours,Fait"</formula1>
    </dataValidation>
    <dataValidation sqref="I7:I61" showDropDown="0" showInputMessage="0" showErrorMessage="0" allowBlank="0" type="list">
      <formula1>"À faire,En cours,Fait"</formula1>
    </dataValidation>
    <dataValidation sqref="J7:K61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6" customWidth="1" min="4" max="4"/>
    <col width="24" customWidth="1" min="5" max="5"/>
  </cols>
  <sheetData>
    <row r="1" ht="28" customHeight="1">
      <c r="A1" s="6" t="inlineStr">
        <is>
          <t>ID Matière</t>
        </is>
      </c>
      <c r="B1" s="6" t="inlineStr">
        <is>
          <t>Désignation</t>
        </is>
      </c>
      <c r="C1" s="6" t="inlineStr">
        <is>
          <t>Quantité en Stock</t>
        </is>
      </c>
      <c r="D1" s="6" t="inlineStr">
        <is>
          <t>Statut</t>
        </is>
      </c>
      <c r="E1" s="6" t="inlineStr">
        <is>
          <t>Date de réception prévue</t>
        </is>
      </c>
    </row>
    <row r="2">
      <c r="A2" t="inlineStr">
        <is>
          <t>MAT-001</t>
        </is>
      </c>
      <c r="B2" t="inlineStr">
        <is>
          <t>Barre acier 42CrMo4 Ø40</t>
        </is>
      </c>
      <c r="C2" t="n">
        <v>120</v>
      </c>
      <c r="D2" t="inlineStr">
        <is>
          <t>Disponible</t>
        </is>
      </c>
      <c r="E2" s="11" t="n"/>
    </row>
    <row r="3">
      <c r="A3" t="inlineStr">
        <is>
          <t>MAT-002</t>
        </is>
      </c>
      <c r="B3" t="inlineStr">
        <is>
          <t>Barre inox 316L Ø25</t>
        </is>
      </c>
      <c r="C3" t="n">
        <v>35</v>
      </c>
      <c r="D3" t="inlineStr">
        <is>
          <t>Disponible</t>
        </is>
      </c>
      <c r="E3" s="11" t="n"/>
    </row>
    <row r="4">
      <c r="A4" t="inlineStr">
        <is>
          <t>MAT-003</t>
        </is>
      </c>
      <c r="B4" t="inlineStr">
        <is>
          <t>Plaque aluminium 7075 20mm</t>
        </is>
      </c>
      <c r="C4" t="n">
        <v>0</v>
      </c>
      <c r="D4" t="inlineStr">
        <is>
          <t>En commande</t>
        </is>
      </c>
      <c r="E4" s="11" t="n">
        <v>46137</v>
      </c>
    </row>
    <row r="5">
      <c r="A5" t="inlineStr">
        <is>
          <t>MAT-004</t>
        </is>
      </c>
      <c r="B5" t="inlineStr">
        <is>
          <t>Rond bronze CuSn8 Ø30</t>
        </is>
      </c>
      <c r="C5" t="n">
        <v>8</v>
      </c>
      <c r="D5" t="inlineStr">
        <is>
          <t>Disponible</t>
        </is>
      </c>
      <c r="E5" s="11" t="n"/>
    </row>
    <row r="6">
      <c r="A6" t="inlineStr">
        <is>
          <t>MAT-005</t>
        </is>
      </c>
      <c r="B6" t="inlineStr">
        <is>
          <t>Tôle acier S235 5mm</t>
        </is>
      </c>
      <c r="C6" t="n">
        <v>0</v>
      </c>
      <c r="D6" t="inlineStr">
        <is>
          <t>En commande</t>
        </is>
      </c>
      <c r="E6" s="11" t="n">
        <v>46143</v>
      </c>
    </row>
  </sheetData>
  <conditionalFormatting sqref="C2:C6">
    <cfRule type="cellIs" priority="1" operator="lessThanOrEqual" dxfId="0" stopIfTrue="0">
      <formula>0</formula>
    </cfRule>
  </conditionalFormatting>
  <conditionalFormatting sqref="D2:D6">
    <cfRule type="cellIs" priority="2" operator="equal" dxfId="6">
      <formula>"En commande"</formula>
    </cfRule>
  </conditionalFormatting>
  <dataValidations count="2">
    <dataValidation sqref="D2:D56" showDropDown="0" showInputMessage="0" showErrorMessage="1" allowBlank="0" errorTitle="Valeur invalide" error="Choisir 'Disponible' ou 'En commande'." type="list">
      <formula1>"Disponible,En commande"</formula1>
    </dataValidation>
    <dataValidation sqref="C2:C56" showDropDown="0" showInputMessage="0" showErrorMessage="0" allowBlank="0" error="La quantité doit être ≥ 0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2" customWidth="1" min="4" max="4"/>
    <col width="14" customWidth="1" min="5" max="5"/>
    <col width="18" customWidth="1" min="6" max="6"/>
  </cols>
  <sheetData>
    <row r="1" ht="28" customHeight="1">
      <c r="A1" s="6" t="inlineStr">
        <is>
          <t>N° Commande</t>
        </is>
      </c>
      <c r="B1" s="6" t="inlineStr">
        <is>
          <t>Client</t>
        </is>
      </c>
      <c r="C1" s="6" t="inlineStr">
        <is>
          <t>Quantité Totale</t>
        </is>
      </c>
      <c r="D1" s="6" t="inlineStr">
        <is>
          <t>Date Limite de Livraison</t>
        </is>
      </c>
      <c r="E1" s="6" t="inlineStr">
        <is>
          <t>Jours restants</t>
        </is>
      </c>
      <c r="F1" s="6" t="inlineStr">
        <is>
          <t>Niveau Urgence</t>
        </is>
      </c>
    </row>
    <row r="2">
      <c r="A2" t="inlineStr">
        <is>
          <t>CMD-2026-001</t>
        </is>
      </c>
      <c r="B2" t="inlineStr">
        <is>
          <t>AéroMéca SAS</t>
        </is>
      </c>
      <c r="C2" t="n">
        <v>50</v>
      </c>
      <c r="D2" s="11" t="n">
        <v>46136</v>
      </c>
      <c r="E2" s="12">
        <f>[@[Date Limite de Livraison]]-TODAY()</f>
        <v/>
      </c>
      <c r="F2" s="7">
        <f>IF([@[Date Limite de Livraison]]&lt;TODAY(),"EN RETARD",IF([@[Jours restants]]&lt;7,"CRITIQUE",IF([@[Jours restants]]&lt;15,"URGENT","NORMAL")))</f>
        <v/>
      </c>
    </row>
    <row r="3">
      <c r="A3" t="inlineStr">
        <is>
          <t>CMD-2026-002</t>
        </is>
      </c>
      <c r="B3" t="inlineStr">
        <is>
          <t>Hydro Industries</t>
        </is>
      </c>
      <c r="C3" t="n">
        <v>120</v>
      </c>
      <c r="D3" s="11" t="n">
        <v>46143</v>
      </c>
      <c r="E3" s="12">
        <f>[@[Date Limite de Livraison]]-TODAY()</f>
        <v/>
      </c>
      <c r="F3" s="7">
        <f>IF([@[Date Limite de Livraison]]&lt;TODAY(),"EN RETARD",IF([@[Jours restants]]&lt;7,"CRITIQUE",IF([@[Jours restants]]&lt;15,"URGENT","NORMAL")))</f>
        <v/>
      </c>
    </row>
    <row r="4">
      <c r="A4" t="inlineStr">
        <is>
          <t>CMD-2026-003</t>
        </is>
      </c>
      <c r="B4" t="inlineStr">
        <is>
          <t>MédiTech</t>
        </is>
      </c>
      <c r="C4" t="n">
        <v>8</v>
      </c>
      <c r="D4" s="11" t="n">
        <v>46131</v>
      </c>
      <c r="E4" s="12">
        <f>[@[Date Limite de Livraison]]-TODAY()</f>
        <v/>
      </c>
      <c r="F4" s="7">
        <f>IF([@[Date Limite de Livraison]]&lt;TODAY(),"EN RETARD",IF([@[Jours restants]]&lt;7,"CRITIQUE",IF([@[Jours restants]]&lt;15,"URGENT","NORMAL")))</f>
        <v/>
      </c>
    </row>
    <row r="5">
      <c r="A5" t="inlineStr">
        <is>
          <t>CMD-2026-004</t>
        </is>
      </c>
      <c r="B5" t="inlineStr">
        <is>
          <t>AutoPrécis</t>
        </is>
      </c>
      <c r="C5" t="n">
        <v>200</v>
      </c>
      <c r="D5" s="11" t="n">
        <v>46153</v>
      </c>
      <c r="E5" s="12">
        <f>[@[Date Limite de Livraison]]-TODAY()</f>
        <v/>
      </c>
      <c r="F5" s="7">
        <f>IF([@[Date Limite de Livraison]]&lt;TODAY(),"EN RETARD",IF([@[Jours restants]]&lt;7,"CRITIQUE",IF([@[Jours restants]]&lt;15,"URGENT","NORMAL")))</f>
        <v/>
      </c>
    </row>
    <row r="6">
      <c r="A6" t="inlineStr">
        <is>
          <t>CMD-2026-005</t>
        </is>
      </c>
      <c r="B6" t="inlineStr">
        <is>
          <t>NavalWorks</t>
        </is>
      </c>
      <c r="C6" t="n">
        <v>30</v>
      </c>
      <c r="D6" s="11" t="n">
        <v>46138</v>
      </c>
      <c r="E6" s="12">
        <f>[@[Date Limite de Livraison]]-TODAY()</f>
        <v/>
      </c>
      <c r="F6" s="7">
        <f>IF([@[Date Limite de Livraison]]&lt;TODAY(),"EN RETARD",IF([@[Jours restants]]&lt;7,"CRITIQUE",IF([@[Jours restants]]&lt;15,"URGENT","NORMAL")))</f>
        <v/>
      </c>
    </row>
  </sheetData>
  <conditionalFormatting sqref="F2:F6">
    <cfRule type="cellIs" priority="1" operator="equal" dxfId="0">
      <formula>"EN RETARD"</formula>
    </cfRule>
    <cfRule type="cellIs" priority="2" operator="equal" dxfId="1">
      <formula>"CRITIQUE"</formula>
    </cfRule>
    <cfRule type="cellIs" priority="3" operator="equal" dxfId="6">
      <formula>"URGENT"</formula>
    </cfRule>
    <cfRule type="cellIs" priority="4" operator="equal" dxfId="2">
      <formula>"NORMAL"</formula>
    </cfRule>
  </conditionalFormatting>
  <conditionalFormatting sqref="A2:F6">
    <cfRule type="expression" priority="5" dxfId="7">
      <formula>$D2&lt;TODAY()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2026-04-21T21:32:01Z</dcterms:created>
  <dcterms:modified xsi:type="dcterms:W3CDTF">2026-04-21T21:32:01Z</dcterms:modified>
</cp:coreProperties>
</file>